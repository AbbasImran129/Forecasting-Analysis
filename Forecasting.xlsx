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idi\OneDrive\Desktop\project\data analyst\excel\forecasting\"/>
    </mc:Choice>
  </mc:AlternateContent>
  <xr:revisionPtr revIDLastSave="0" documentId="13_ncr:1_{EB3AD41E-893B-42CC-993D-D743762FF026}" xr6:coauthVersionLast="47" xr6:coauthVersionMax="47" xr10:uidLastSave="{00000000-0000-0000-0000-000000000000}"/>
  <bookViews>
    <workbookView xWindow="-110" yWindow="-110" windowWidth="19420" windowHeight="10300" activeTab="1" xr2:uid="{D39EE176-0C1D-3441-8EB4-571125E77837}"/>
  </bookViews>
  <sheets>
    <sheet name="Forecast" sheetId="3" r:id="rId1"/>
    <sheet name="Forecast (1)" sheetId="9" r:id="rId2"/>
    <sheet name="Forecast (2)" sheetId="6" r:id="rId3"/>
    <sheet name="Forecast (3)" sheetId="7" r:id="rId4"/>
    <sheet name="Forecast Sheet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0" i="9" l="1"/>
  <c r="K9" i="9"/>
  <c r="K8" i="9"/>
  <c r="K7" i="9"/>
  <c r="K6" i="9"/>
  <c r="K5" i="9"/>
  <c r="K4" i="9"/>
  <c r="K3" i="9"/>
  <c r="G6" i="6"/>
  <c r="G7" i="6"/>
  <c r="G8" i="6"/>
  <c r="G9" i="6"/>
  <c r="G10" i="6"/>
  <c r="G11" i="6"/>
  <c r="G12" i="6"/>
  <c r="G5" i="6"/>
  <c r="C18" i="8"/>
  <c r="C19" i="8"/>
  <c r="C20" i="8"/>
  <c r="C21" i="8"/>
  <c r="C22" i="8"/>
  <c r="C25" i="8"/>
  <c r="C23" i="8"/>
  <c r="C24" i="8"/>
  <c r="I9" i="6"/>
  <c r="H9" i="6"/>
  <c r="I5" i="6"/>
  <c r="I12" i="6"/>
  <c r="I10" i="6"/>
  <c r="I8" i="6"/>
  <c r="I6" i="6"/>
  <c r="I7" i="6"/>
  <c r="H7" i="6"/>
  <c r="H5" i="6"/>
  <c r="H12" i="6"/>
  <c r="H10" i="6"/>
  <c r="H8" i="6"/>
  <c r="H6" i="6"/>
  <c r="I11" i="6"/>
  <c r="H11" i="6"/>
  <c r="L4" i="9"/>
  <c r="L10" i="9"/>
  <c r="L5" i="9"/>
  <c r="L7" i="9"/>
  <c r="L8" i="9"/>
  <c r="L3" i="9"/>
  <c r="L6" i="9"/>
  <c r="L9" i="9"/>
  <c r="K11" i="6" l="1"/>
  <c r="J11" i="6"/>
  <c r="K6" i="6"/>
  <c r="K8" i="6"/>
  <c r="K10" i="6"/>
  <c r="K12" i="6"/>
  <c r="K5" i="6"/>
  <c r="K7" i="6"/>
  <c r="J7" i="6"/>
  <c r="J6" i="6"/>
  <c r="J8" i="6"/>
  <c r="J10" i="6"/>
  <c r="J12" i="6"/>
  <c r="J5" i="6"/>
  <c r="K9" i="6"/>
  <c r="J9" i="6"/>
  <c r="J6" i="3"/>
  <c r="J7" i="3"/>
  <c r="J8" i="3"/>
  <c r="J9" i="3"/>
  <c r="J10" i="3"/>
  <c r="J11" i="3"/>
  <c r="J12" i="3"/>
  <c r="J5" i="3"/>
  <c r="E23" i="8"/>
  <c r="D20" i="8"/>
  <c r="D25" i="8"/>
  <c r="D19" i="8"/>
  <c r="D23" i="8"/>
  <c r="E25" i="8"/>
  <c r="E19" i="8"/>
  <c r="E18" i="8"/>
  <c r="E21" i="8"/>
  <c r="D21" i="8"/>
  <c r="E20" i="8"/>
  <c r="D22" i="8"/>
  <c r="D18" i="8"/>
  <c r="E22" i="8"/>
  <c r="E24" i="8"/>
  <c r="D24" i="8"/>
</calcChain>
</file>

<file path=xl/sharedStrings.xml><?xml version="1.0" encoding="utf-8"?>
<sst xmlns="http://schemas.openxmlformats.org/spreadsheetml/2006/main" count="29" uniqueCount="12">
  <si>
    <t>Date</t>
  </si>
  <si>
    <t>Hotel Resort Business</t>
  </si>
  <si>
    <t>Sales</t>
  </si>
  <si>
    <t>linear Forecast</t>
  </si>
  <si>
    <t>Linear Forecast</t>
  </si>
  <si>
    <t>Seasonal Forecast</t>
  </si>
  <si>
    <t>Confidence Interval</t>
  </si>
  <si>
    <t>Upper Bound</t>
  </si>
  <si>
    <t>Lower Bound</t>
  </si>
  <si>
    <t>Forecast(Sales)</t>
  </si>
  <si>
    <t>Lower Confidence Bound(Sales)</t>
  </si>
  <si>
    <t>Upper Confidence Bound(Sales)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</si>
</sst>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$-C09]#,##0"/>
    <numFmt numFmtId="165" formatCode="dd/mm/yy"/>
    <numFmt numFmtId="166" formatCode="[$$-C09]#,##0.00"/>
    <numFmt numFmtId="167" formatCode="&quot;₹&quot;\ #,##0.00"/>
    <numFmt numFmtId="168" formatCode="[$$-409]#,##0.00"/>
    <numFmt numFmtId="169" formatCode="[$$-409]#,##0"/>
    <numFmt numFmtId="170" formatCode="&quot;₹&quot;\ #,##0.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165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1" xfId="0" applyBorder="1"/>
    <xf numFmtId="0" fontId="3" fillId="0" borderId="1" xfId="0" applyFont="1" applyBorder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67" fontId="0" fillId="0" borderId="0" xfId="0" applyNumberFormat="1" applyAlignment="1">
      <alignment horizontal="center"/>
    </xf>
    <xf numFmtId="170" fontId="0" fillId="0" borderId="0" xfId="0" applyNumberFormat="1"/>
    <xf numFmtId="165" fontId="0" fillId="0" borderId="0" xfId="0" applyNumberFormat="1"/>
    <xf numFmtId="0" fontId="0" fillId="0" borderId="0" xfId="0" applyFill="1"/>
    <xf numFmtId="0" fontId="6" fillId="0" borderId="0" xfId="0" applyFont="1" applyFill="1" applyAlignment="1">
      <alignment horizontal="center"/>
    </xf>
    <xf numFmtId="168" fontId="0" fillId="0" borderId="0" xfId="0" applyNumberFormat="1" applyFill="1"/>
    <xf numFmtId="0" fontId="2" fillId="0" borderId="0" xfId="0" applyFont="1" applyFill="1" applyAlignment="1">
      <alignment horizontal="center"/>
    </xf>
    <xf numFmtId="170" fontId="0" fillId="0" borderId="0" xfId="0" applyNumberFormat="1" applyFill="1"/>
    <xf numFmtId="0" fontId="0" fillId="0" borderId="0" xfId="0" applyBorder="1"/>
  </cellXfs>
  <cellStyles count="4">
    <cellStyle name="Hyperlink 2" xfId="2" xr:uid="{76C7EFDB-D734-E64A-BE2A-5F803D87771B}"/>
    <cellStyle name="Hyperlink 3" xfId="3" xr:uid="{292A2F43-B0A1-494A-A92B-F4FD9D356A3B}"/>
    <cellStyle name="Normal" xfId="0" builtinId="0"/>
    <cellStyle name="Normal 2" xfId="1" xr:uid="{1978511A-B413-FC40-B397-50C346EB00B3}"/>
  </cellStyles>
  <dxfs count="4">
    <dxf>
      <numFmt numFmtId="167" formatCode="&quot;₹&quot;\ #,##0.00"/>
    </dxf>
    <dxf>
      <numFmt numFmtId="167" formatCode="&quot;₹&quot;\ #,##0.00"/>
    </dxf>
    <dxf>
      <numFmt numFmtId="167" formatCode="&quot;₹&quot;\ #,##0.00"/>
    </dxf>
    <dxf>
      <numFmt numFmtId="165" formatCode="dd/mm/yy"/>
    </dxf>
  </dxfs>
  <tableStyles count="0" defaultTableStyle="TableStyleMedium2" defaultPivotStyle="PivotStyleLight16"/>
  <colors>
    <mruColors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Forecast!$I$5:$I$12</c:f>
              <c:numCache>
                <c:formatCode>dd/mm/yy</c:formatCode>
                <c:ptCount val="8"/>
                <c:pt idx="0">
                  <c:v>45747</c:v>
                </c:pt>
                <c:pt idx="1">
                  <c:v>45838</c:v>
                </c:pt>
                <c:pt idx="2">
                  <c:v>45930</c:v>
                </c:pt>
                <c:pt idx="3">
                  <c:v>46022</c:v>
                </c:pt>
                <c:pt idx="4">
                  <c:v>46112</c:v>
                </c:pt>
                <c:pt idx="5">
                  <c:v>46203</c:v>
                </c:pt>
                <c:pt idx="6">
                  <c:v>46295</c:v>
                </c:pt>
                <c:pt idx="7">
                  <c:v>46387</c:v>
                </c:pt>
              </c:numCache>
            </c:numRef>
          </c:cat>
          <c:val>
            <c:numRef>
              <c:f>Forecast!$J$5:$J$12</c:f>
              <c:numCache>
                <c:formatCode>[$$-409]#,##0</c:formatCode>
                <c:ptCount val="8"/>
                <c:pt idx="0">
                  <c:v>149924.74872790929</c:v>
                </c:pt>
                <c:pt idx="1">
                  <c:v>153362.28530553775</c:v>
                </c:pt>
                <c:pt idx="2">
                  <c:v>156837.59701039316</c:v>
                </c:pt>
                <c:pt idx="3">
                  <c:v>160312.90871524834</c:v>
                </c:pt>
                <c:pt idx="4">
                  <c:v>163712.67016565008</c:v>
                </c:pt>
                <c:pt idx="5">
                  <c:v>167150.20674327877</c:v>
                </c:pt>
                <c:pt idx="6">
                  <c:v>170625.51844813395</c:v>
                </c:pt>
                <c:pt idx="7">
                  <c:v>174100.83015298913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86-4A9B-8569-09D9688A7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7437136"/>
        <c:axId val="1017439056"/>
      </c:lineChart>
      <c:dateAx>
        <c:axId val="1017437136"/>
        <c:scaling>
          <c:orientation val="minMax"/>
        </c:scaling>
        <c:delete val="0"/>
        <c:axPos val="b"/>
        <c:numFmt formatCode="dd/mm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439056"/>
        <c:crosses val="autoZero"/>
        <c:auto val="1"/>
        <c:lblOffset val="100"/>
        <c:baseTimeUnit val="months"/>
      </c:dateAx>
      <c:valAx>
        <c:axId val="101743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43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Historical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Forecast!$B$5:$B$20</c:f>
              <c:numCache>
                <c:formatCode>dd/mm/yy</c:formatCode>
                <c:ptCount val="16"/>
                <c:pt idx="0">
                  <c:v>44286</c:v>
                </c:pt>
                <c:pt idx="1">
                  <c:v>44377</c:v>
                </c:pt>
                <c:pt idx="2">
                  <c:v>44469</c:v>
                </c:pt>
                <c:pt idx="3">
                  <c:v>44561</c:v>
                </c:pt>
                <c:pt idx="4">
                  <c:v>44651</c:v>
                </c:pt>
                <c:pt idx="5">
                  <c:v>44742</c:v>
                </c:pt>
                <c:pt idx="6">
                  <c:v>44834</c:v>
                </c:pt>
                <c:pt idx="7">
                  <c:v>44926</c:v>
                </c:pt>
                <c:pt idx="8">
                  <c:v>45016</c:v>
                </c:pt>
                <c:pt idx="9">
                  <c:v>45107</c:v>
                </c:pt>
                <c:pt idx="10">
                  <c:v>45199</c:v>
                </c:pt>
                <c:pt idx="11">
                  <c:v>45291</c:v>
                </c:pt>
                <c:pt idx="12">
                  <c:v>45382</c:v>
                </c:pt>
                <c:pt idx="13">
                  <c:v>45473</c:v>
                </c:pt>
                <c:pt idx="14">
                  <c:v>45565</c:v>
                </c:pt>
                <c:pt idx="15">
                  <c:v>45657</c:v>
                </c:pt>
              </c:numCache>
            </c:numRef>
          </c:cat>
          <c:val>
            <c:numRef>
              <c:f>Forecast!$C$5:$C$20</c:f>
              <c:numCache>
                <c:formatCode>[$$-C09]#,##0</c:formatCode>
                <c:ptCount val="16"/>
                <c:pt idx="0">
                  <c:v>98997</c:v>
                </c:pt>
                <c:pt idx="1">
                  <c:v>114698</c:v>
                </c:pt>
                <c:pt idx="2">
                  <c:v>124669</c:v>
                </c:pt>
                <c:pt idx="3">
                  <c:v>99765</c:v>
                </c:pt>
                <c:pt idx="4">
                  <c:v>87992</c:v>
                </c:pt>
                <c:pt idx="5">
                  <c:v>89992</c:v>
                </c:pt>
                <c:pt idx="6">
                  <c:v>134675</c:v>
                </c:pt>
                <c:pt idx="7">
                  <c:v>105999</c:v>
                </c:pt>
                <c:pt idx="8">
                  <c:v>95888</c:v>
                </c:pt>
                <c:pt idx="9">
                  <c:v>109889</c:v>
                </c:pt>
                <c:pt idx="10">
                  <c:v>175669</c:v>
                </c:pt>
                <c:pt idx="11">
                  <c:v>109885</c:v>
                </c:pt>
                <c:pt idx="12">
                  <c:v>113225</c:v>
                </c:pt>
                <c:pt idx="13">
                  <c:v>149889</c:v>
                </c:pt>
                <c:pt idx="14">
                  <c:v>175998</c:v>
                </c:pt>
                <c:pt idx="15">
                  <c:v>142550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CF-472F-ABDB-502CCB72F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9191184"/>
        <c:axId val="1009186384"/>
      </c:lineChart>
      <c:dateAx>
        <c:axId val="1009191184"/>
        <c:scaling>
          <c:orientation val="minMax"/>
        </c:scaling>
        <c:delete val="0"/>
        <c:axPos val="b"/>
        <c:numFmt formatCode="dd/mm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186384"/>
        <c:crosses val="autoZero"/>
        <c:auto val="1"/>
        <c:lblOffset val="100"/>
        <c:baseTimeUnit val="months"/>
      </c:dateAx>
      <c:valAx>
        <c:axId val="100918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19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Comparison</a:t>
            </a:r>
            <a:r>
              <a:rPr lang="en-IN" baseline="0"/>
              <a:t> of linear &amp; Seasonal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 (1)'!$K$2</c:f>
              <c:strCache>
                <c:ptCount val="1"/>
                <c:pt idx="0">
                  <c:v>Linear 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'Forecast (1)'!$J$3:$J$10</c:f>
              <c:numCache>
                <c:formatCode>dd/mm/yy</c:formatCode>
                <c:ptCount val="8"/>
                <c:pt idx="0">
                  <c:v>45747</c:v>
                </c:pt>
                <c:pt idx="1">
                  <c:v>45838</c:v>
                </c:pt>
                <c:pt idx="2">
                  <c:v>45930</c:v>
                </c:pt>
                <c:pt idx="3">
                  <c:v>46022</c:v>
                </c:pt>
                <c:pt idx="4">
                  <c:v>46112</c:v>
                </c:pt>
                <c:pt idx="5">
                  <c:v>46203</c:v>
                </c:pt>
                <c:pt idx="6">
                  <c:v>46295</c:v>
                </c:pt>
                <c:pt idx="7">
                  <c:v>46387</c:v>
                </c:pt>
              </c:numCache>
            </c:numRef>
          </c:cat>
          <c:val>
            <c:numRef>
              <c:f>'Forecast (1)'!$K$3:$K$10</c:f>
              <c:numCache>
                <c:formatCode>"₹"\ #,##0.0</c:formatCode>
                <c:ptCount val="8"/>
                <c:pt idx="0">
                  <c:v>149924.74872790929</c:v>
                </c:pt>
                <c:pt idx="1">
                  <c:v>153362.28530553775</c:v>
                </c:pt>
                <c:pt idx="2">
                  <c:v>156837.59701039316</c:v>
                </c:pt>
                <c:pt idx="3">
                  <c:v>160312.90871524834</c:v>
                </c:pt>
                <c:pt idx="4">
                  <c:v>163712.67016565008</c:v>
                </c:pt>
                <c:pt idx="5">
                  <c:v>167150.20674327877</c:v>
                </c:pt>
                <c:pt idx="6">
                  <c:v>170625.51844813395</c:v>
                </c:pt>
                <c:pt idx="7">
                  <c:v>174100.83015298913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19-4BF1-8CC9-70350A95C0DC}"/>
            </c:ext>
          </c:extLst>
        </c:ser>
        <c:ser>
          <c:idx val="1"/>
          <c:order val="1"/>
          <c:tx>
            <c:strRef>
              <c:f>'Forecast (1)'!$L$2</c:f>
              <c:strCache>
                <c:ptCount val="1"/>
                <c:pt idx="0">
                  <c:v>Seasonal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(1)'!$J$3:$J$10</c:f>
              <c:numCache>
                <c:formatCode>dd/mm/yy</c:formatCode>
                <c:ptCount val="8"/>
                <c:pt idx="0">
                  <c:v>45747</c:v>
                </c:pt>
                <c:pt idx="1">
                  <c:v>45838</c:v>
                </c:pt>
                <c:pt idx="2">
                  <c:v>45930</c:v>
                </c:pt>
                <c:pt idx="3">
                  <c:v>46022</c:v>
                </c:pt>
                <c:pt idx="4">
                  <c:v>46112</c:v>
                </c:pt>
                <c:pt idx="5">
                  <c:v>46203</c:v>
                </c:pt>
                <c:pt idx="6">
                  <c:v>46295</c:v>
                </c:pt>
                <c:pt idx="7">
                  <c:v>46387</c:v>
                </c:pt>
              </c:numCache>
            </c:numRef>
          </c:cat>
          <c:val>
            <c:numRef>
              <c:f>'Forecast (1)'!$L$3:$L$10</c:f>
              <c:numCache>
                <c:formatCode>"₹"\ #,##0.0</c:formatCode>
                <c:ptCount val="8"/>
                <c:pt idx="0">
                  <c:v>137425.70055998367</c:v>
                </c:pt>
                <c:pt idx="1">
                  <c:v>173126.20038627624</c:v>
                </c:pt>
                <c:pt idx="2">
                  <c:v>203835.99420909263</c:v>
                </c:pt>
                <c:pt idx="3">
                  <c:v>170665.09537797375</c:v>
                </c:pt>
                <c:pt idx="4">
                  <c:v>165558.78439930358</c:v>
                </c:pt>
                <c:pt idx="5">
                  <c:v>201259.28422559614</c:v>
                </c:pt>
                <c:pt idx="6">
                  <c:v>231969.07804841254</c:v>
                </c:pt>
                <c:pt idx="7">
                  <c:v>198798.17921729368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19-4BF1-8CC9-70350A95C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031055"/>
        <c:axId val="227033455"/>
      </c:lineChart>
      <c:dateAx>
        <c:axId val="227031055"/>
        <c:scaling>
          <c:orientation val="minMax"/>
        </c:scaling>
        <c:delete val="0"/>
        <c:axPos val="b"/>
        <c:numFmt formatCode="dd/mm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033455"/>
        <c:crosses val="autoZero"/>
        <c:auto val="1"/>
        <c:lblOffset val="100"/>
        <c:baseTimeUnit val="months"/>
      </c:dateAx>
      <c:valAx>
        <c:axId val="22703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03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 (1)'!$C$3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'Forecast (1)'!$B$4:$B$19</c:f>
              <c:numCache>
                <c:formatCode>dd/mm/yy</c:formatCode>
                <c:ptCount val="16"/>
                <c:pt idx="0">
                  <c:v>44286</c:v>
                </c:pt>
                <c:pt idx="1">
                  <c:v>44377</c:v>
                </c:pt>
                <c:pt idx="2">
                  <c:v>44469</c:v>
                </c:pt>
                <c:pt idx="3">
                  <c:v>44561</c:v>
                </c:pt>
                <c:pt idx="4">
                  <c:v>44651</c:v>
                </c:pt>
                <c:pt idx="5">
                  <c:v>44742</c:v>
                </c:pt>
                <c:pt idx="6">
                  <c:v>44834</c:v>
                </c:pt>
                <c:pt idx="7">
                  <c:v>44926</c:v>
                </c:pt>
                <c:pt idx="8">
                  <c:v>45016</c:v>
                </c:pt>
                <c:pt idx="9">
                  <c:v>45107</c:v>
                </c:pt>
                <c:pt idx="10">
                  <c:v>45199</c:v>
                </c:pt>
                <c:pt idx="11">
                  <c:v>45291</c:v>
                </c:pt>
                <c:pt idx="12">
                  <c:v>45382</c:v>
                </c:pt>
                <c:pt idx="13">
                  <c:v>45473</c:v>
                </c:pt>
                <c:pt idx="14">
                  <c:v>45565</c:v>
                </c:pt>
                <c:pt idx="15">
                  <c:v>45657</c:v>
                </c:pt>
              </c:numCache>
            </c:numRef>
          </c:cat>
          <c:val>
            <c:numRef>
              <c:f>'Forecast (1)'!$C$4:$C$19</c:f>
              <c:numCache>
                <c:formatCode>"₹"\ #,##0.00</c:formatCode>
                <c:ptCount val="16"/>
                <c:pt idx="0">
                  <c:v>98997</c:v>
                </c:pt>
                <c:pt idx="1">
                  <c:v>114698</c:v>
                </c:pt>
                <c:pt idx="2">
                  <c:v>124669</c:v>
                </c:pt>
                <c:pt idx="3">
                  <c:v>99765</c:v>
                </c:pt>
                <c:pt idx="4">
                  <c:v>87992</c:v>
                </c:pt>
                <c:pt idx="5">
                  <c:v>89992</c:v>
                </c:pt>
                <c:pt idx="6">
                  <c:v>134675</c:v>
                </c:pt>
                <c:pt idx="7">
                  <c:v>105999</c:v>
                </c:pt>
                <c:pt idx="8">
                  <c:v>95888</c:v>
                </c:pt>
                <c:pt idx="9">
                  <c:v>109889</c:v>
                </c:pt>
                <c:pt idx="10">
                  <c:v>175669</c:v>
                </c:pt>
                <c:pt idx="11">
                  <c:v>109885</c:v>
                </c:pt>
                <c:pt idx="12">
                  <c:v>113225</c:v>
                </c:pt>
                <c:pt idx="13">
                  <c:v>149889</c:v>
                </c:pt>
                <c:pt idx="14">
                  <c:v>175998</c:v>
                </c:pt>
                <c:pt idx="15">
                  <c:v>142550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6-447E-A50D-A37068AC7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839423"/>
        <c:axId val="226109919"/>
      </c:lineChart>
      <c:dateAx>
        <c:axId val="227839423"/>
        <c:scaling>
          <c:orientation val="minMax"/>
        </c:scaling>
        <c:delete val="0"/>
        <c:axPos val="b"/>
        <c:numFmt formatCode="dd/mm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109919"/>
        <c:crosses val="autoZero"/>
        <c:auto val="1"/>
        <c:lblOffset val="100"/>
        <c:baseTimeUnit val="months"/>
      </c:dateAx>
      <c:valAx>
        <c:axId val="22610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83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'Forecast Sheet'!$B$1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Sheet'!$B$2:$B$25</c:f>
              <c:numCache>
                <c:formatCode>"₹"\ #,##0.00</c:formatCode>
                <c:ptCount val="24"/>
                <c:pt idx="0">
                  <c:v>98997</c:v>
                </c:pt>
                <c:pt idx="1">
                  <c:v>114698</c:v>
                </c:pt>
                <c:pt idx="2">
                  <c:v>124669</c:v>
                </c:pt>
                <c:pt idx="3">
                  <c:v>99765</c:v>
                </c:pt>
                <c:pt idx="4">
                  <c:v>87992</c:v>
                </c:pt>
                <c:pt idx="5">
                  <c:v>89992</c:v>
                </c:pt>
                <c:pt idx="6">
                  <c:v>134675</c:v>
                </c:pt>
                <c:pt idx="7">
                  <c:v>105999</c:v>
                </c:pt>
                <c:pt idx="8">
                  <c:v>95888</c:v>
                </c:pt>
                <c:pt idx="9">
                  <c:v>109889</c:v>
                </c:pt>
                <c:pt idx="10">
                  <c:v>175669</c:v>
                </c:pt>
                <c:pt idx="11">
                  <c:v>109885</c:v>
                </c:pt>
                <c:pt idx="12">
                  <c:v>113225</c:v>
                </c:pt>
                <c:pt idx="13">
                  <c:v>149889</c:v>
                </c:pt>
                <c:pt idx="14">
                  <c:v>175998</c:v>
                </c:pt>
                <c:pt idx="15">
                  <c:v>142550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6-4C6D-811F-6AFE67B662A7}"/>
            </c:ext>
          </c:extLst>
        </c:ser>
        <c:ser>
          <c:idx val="1"/>
          <c:order val="1"/>
          <c:tx>
            <c:strRef>
              <c:f>'Forecast Sheet'!$C$1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Sheet'!$A$2:$A$25</c:f>
              <c:numCache>
                <c:formatCode>dd/mm/yy</c:formatCode>
                <c:ptCount val="24"/>
                <c:pt idx="0">
                  <c:v>44286</c:v>
                </c:pt>
                <c:pt idx="1">
                  <c:v>44377</c:v>
                </c:pt>
                <c:pt idx="2">
                  <c:v>44469</c:v>
                </c:pt>
                <c:pt idx="3">
                  <c:v>44561</c:v>
                </c:pt>
                <c:pt idx="4">
                  <c:v>44651</c:v>
                </c:pt>
                <c:pt idx="5">
                  <c:v>44742</c:v>
                </c:pt>
                <c:pt idx="6">
                  <c:v>44834</c:v>
                </c:pt>
                <c:pt idx="7">
                  <c:v>44926</c:v>
                </c:pt>
                <c:pt idx="8">
                  <c:v>45016</c:v>
                </c:pt>
                <c:pt idx="9">
                  <c:v>45107</c:v>
                </c:pt>
                <c:pt idx="10">
                  <c:v>45199</c:v>
                </c:pt>
                <c:pt idx="11">
                  <c:v>45291</c:v>
                </c:pt>
                <c:pt idx="12">
                  <c:v>45382</c:v>
                </c:pt>
                <c:pt idx="13">
                  <c:v>45473</c:v>
                </c:pt>
                <c:pt idx="14">
                  <c:v>45565</c:v>
                </c:pt>
                <c:pt idx="15">
                  <c:v>45657</c:v>
                </c:pt>
                <c:pt idx="16">
                  <c:v>45747</c:v>
                </c:pt>
                <c:pt idx="17">
                  <c:v>45839</c:v>
                </c:pt>
                <c:pt idx="18">
                  <c:v>45931</c:v>
                </c:pt>
                <c:pt idx="19">
                  <c:v>46022</c:v>
                </c:pt>
                <c:pt idx="20">
                  <c:v>46112</c:v>
                </c:pt>
                <c:pt idx="21">
                  <c:v>46204</c:v>
                </c:pt>
                <c:pt idx="22">
                  <c:v>46296</c:v>
                </c:pt>
                <c:pt idx="23">
                  <c:v>46387</c:v>
                </c:pt>
              </c:numCache>
            </c:numRef>
          </c:cat>
          <c:val>
            <c:numRef>
              <c:f>'Forecast Sheet'!$C$2:$C$25</c:f>
              <c:numCache>
                <c:formatCode>General</c:formatCode>
                <c:ptCount val="24"/>
                <c:pt idx="15" formatCode="&quot;₹&quot;\ #,##0.00">
                  <c:v>142550</c:v>
                </c:pt>
                <c:pt idx="16" formatCode="&quot;₹&quot;\ #,##0.00">
                  <c:v>137425.70055998367</c:v>
                </c:pt>
                <c:pt idx="17" formatCode="&quot;₹&quot;\ #,##0.00">
                  <c:v>173518.51357118055</c:v>
                </c:pt>
                <c:pt idx="18" formatCode="&quot;₹&quot;\ #,##0.00">
                  <c:v>204169.15333698178</c:v>
                </c:pt>
                <c:pt idx="19" formatCode="&quot;₹&quot;\ #,##0.00">
                  <c:v>170665.09537797375</c:v>
                </c:pt>
                <c:pt idx="20" formatCode="&quot;₹&quot;\ #,##0.00">
                  <c:v>165558.78439930358</c:v>
                </c:pt>
                <c:pt idx="21" formatCode="&quot;₹&quot;\ #,##0.00">
                  <c:v>201651.59741050046</c:v>
                </c:pt>
                <c:pt idx="22" formatCode="&quot;₹&quot;\ #,##0.00">
                  <c:v>232302.23717630169</c:v>
                </c:pt>
                <c:pt idx="23" formatCode="&quot;₹&quot;\ #,##0.00">
                  <c:v>198798.17921729368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06-4C6D-811F-6AFE67B662A7}"/>
            </c:ext>
          </c:extLst>
        </c:ser>
        <c:ser>
          <c:idx val="2"/>
          <c:order val="2"/>
          <c:tx>
            <c:strRef>
              <c:f>'Forecast Sheet'!$D$1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Sheet'!$A$2:$A$25</c:f>
              <c:numCache>
                <c:formatCode>dd/mm/yy</c:formatCode>
                <c:ptCount val="24"/>
                <c:pt idx="0">
                  <c:v>44286</c:v>
                </c:pt>
                <c:pt idx="1">
                  <c:v>44377</c:v>
                </c:pt>
                <c:pt idx="2">
                  <c:v>44469</c:v>
                </c:pt>
                <c:pt idx="3">
                  <c:v>44561</c:v>
                </c:pt>
                <c:pt idx="4">
                  <c:v>44651</c:v>
                </c:pt>
                <c:pt idx="5">
                  <c:v>44742</c:v>
                </c:pt>
                <c:pt idx="6">
                  <c:v>44834</c:v>
                </c:pt>
                <c:pt idx="7">
                  <c:v>44926</c:v>
                </c:pt>
                <c:pt idx="8">
                  <c:v>45016</c:v>
                </c:pt>
                <c:pt idx="9">
                  <c:v>45107</c:v>
                </c:pt>
                <c:pt idx="10">
                  <c:v>45199</c:v>
                </c:pt>
                <c:pt idx="11">
                  <c:v>45291</c:v>
                </c:pt>
                <c:pt idx="12">
                  <c:v>45382</c:v>
                </c:pt>
                <c:pt idx="13">
                  <c:v>45473</c:v>
                </c:pt>
                <c:pt idx="14">
                  <c:v>45565</c:v>
                </c:pt>
                <c:pt idx="15">
                  <c:v>45657</c:v>
                </c:pt>
                <c:pt idx="16">
                  <c:v>45747</c:v>
                </c:pt>
                <c:pt idx="17">
                  <c:v>45839</c:v>
                </c:pt>
                <c:pt idx="18">
                  <c:v>45931</c:v>
                </c:pt>
                <c:pt idx="19">
                  <c:v>46022</c:v>
                </c:pt>
                <c:pt idx="20">
                  <c:v>46112</c:v>
                </c:pt>
                <c:pt idx="21">
                  <c:v>46204</c:v>
                </c:pt>
                <c:pt idx="22">
                  <c:v>46296</c:v>
                </c:pt>
                <c:pt idx="23">
                  <c:v>46387</c:v>
                </c:pt>
              </c:numCache>
            </c:numRef>
          </c:cat>
          <c:val>
            <c:numRef>
              <c:f>'Forecast Sheet'!$D$2:$D$25</c:f>
              <c:numCache>
                <c:formatCode>General</c:formatCode>
                <c:ptCount val="24"/>
                <c:pt idx="15" formatCode="&quot;₹&quot;\ #,##0.00">
                  <c:v>142550</c:v>
                </c:pt>
                <c:pt idx="16" formatCode="&quot;₹&quot;\ #,##0.00">
                  <c:v>105090.20059691243</c:v>
                </c:pt>
                <c:pt idx="17" formatCode="&quot;₹&quot;\ #,##0.00">
                  <c:v>137380.77487111907</c:v>
                </c:pt>
                <c:pt idx="18" formatCode="&quot;₹&quot;\ #,##0.00">
                  <c:v>160684.15706452224</c:v>
                </c:pt>
                <c:pt idx="19" formatCode="&quot;₹&quot;\ #,##0.00">
                  <c:v>116533.16984791847</c:v>
                </c:pt>
                <c:pt idx="20" formatCode="&quot;₹&quot;\ #,##0.00">
                  <c:v>81346.4453895404</c:v>
                </c:pt>
                <c:pt idx="21" formatCode="&quot;₹&quot;\ #,##0.00">
                  <c:v>104550.48687138094</c:v>
                </c:pt>
                <c:pt idx="22" formatCode="&quot;₹&quot;\ #,##0.00">
                  <c:v>120013.28517428593</c:v>
                </c:pt>
                <c:pt idx="23" formatCode="&quot;₹&quot;\ #,##0.00">
                  <c:v>69330.338271438246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06-4C6D-811F-6AFE67B662A7}"/>
            </c:ext>
          </c:extLst>
        </c:ser>
        <c:ser>
          <c:idx val="3"/>
          <c:order val="3"/>
          <c:tx>
            <c:strRef>
              <c:f>'Forecast Sheet'!$E$1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Sheet'!$A$2:$A$25</c:f>
              <c:numCache>
                <c:formatCode>dd/mm/yy</c:formatCode>
                <c:ptCount val="24"/>
                <c:pt idx="0">
                  <c:v>44286</c:v>
                </c:pt>
                <c:pt idx="1">
                  <c:v>44377</c:v>
                </c:pt>
                <c:pt idx="2">
                  <c:v>44469</c:v>
                </c:pt>
                <c:pt idx="3">
                  <c:v>44561</c:v>
                </c:pt>
                <c:pt idx="4">
                  <c:v>44651</c:v>
                </c:pt>
                <c:pt idx="5">
                  <c:v>44742</c:v>
                </c:pt>
                <c:pt idx="6">
                  <c:v>44834</c:v>
                </c:pt>
                <c:pt idx="7">
                  <c:v>44926</c:v>
                </c:pt>
                <c:pt idx="8">
                  <c:v>45016</c:v>
                </c:pt>
                <c:pt idx="9">
                  <c:v>45107</c:v>
                </c:pt>
                <c:pt idx="10">
                  <c:v>45199</c:v>
                </c:pt>
                <c:pt idx="11">
                  <c:v>45291</c:v>
                </c:pt>
                <c:pt idx="12">
                  <c:v>45382</c:v>
                </c:pt>
                <c:pt idx="13">
                  <c:v>45473</c:v>
                </c:pt>
                <c:pt idx="14">
                  <c:v>45565</c:v>
                </c:pt>
                <c:pt idx="15">
                  <c:v>45657</c:v>
                </c:pt>
                <c:pt idx="16">
                  <c:v>45747</c:v>
                </c:pt>
                <c:pt idx="17">
                  <c:v>45839</c:v>
                </c:pt>
                <c:pt idx="18">
                  <c:v>45931</c:v>
                </c:pt>
                <c:pt idx="19">
                  <c:v>46022</c:v>
                </c:pt>
                <c:pt idx="20">
                  <c:v>46112</c:v>
                </c:pt>
                <c:pt idx="21">
                  <c:v>46204</c:v>
                </c:pt>
                <c:pt idx="22">
                  <c:v>46296</c:v>
                </c:pt>
                <c:pt idx="23">
                  <c:v>46387</c:v>
                </c:pt>
              </c:numCache>
            </c:numRef>
          </c:cat>
          <c:val>
            <c:numRef>
              <c:f>'Forecast Sheet'!$E$2:$E$25</c:f>
              <c:numCache>
                <c:formatCode>General</c:formatCode>
                <c:ptCount val="24"/>
                <c:pt idx="15" formatCode="&quot;₹&quot;\ #,##0.00">
                  <c:v>142550</c:v>
                </c:pt>
                <c:pt idx="16" formatCode="&quot;₹&quot;\ #,##0.00">
                  <c:v>169761.2005230549</c:v>
                </c:pt>
                <c:pt idx="17" formatCode="&quot;₹&quot;\ #,##0.00">
                  <c:v>209656.25227124203</c:v>
                </c:pt>
                <c:pt idx="18" formatCode="&quot;₹&quot;\ #,##0.00">
                  <c:v>247654.14960944132</c:v>
                </c:pt>
                <c:pt idx="19" formatCode="&quot;₹&quot;\ #,##0.00">
                  <c:v>224797.02090802902</c:v>
                </c:pt>
                <c:pt idx="20" formatCode="&quot;₹&quot;\ #,##0.00">
                  <c:v>249771.12340906676</c:v>
                </c:pt>
                <c:pt idx="21" formatCode="&quot;₹&quot;\ #,##0.00">
                  <c:v>298752.70794961997</c:v>
                </c:pt>
                <c:pt idx="22" formatCode="&quot;₹&quot;\ #,##0.00">
                  <c:v>344591.18917831744</c:v>
                </c:pt>
                <c:pt idx="23" formatCode="&quot;₹&quot;\ #,##0.00">
                  <c:v>328266.02016314911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06-4C6D-811F-6AFE67B66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6360864"/>
        <c:axId val="1286366624"/>
      </c:lineChart>
      <c:catAx>
        <c:axId val="128636086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366624"/>
        <c:crosses val="autoZero"/>
        <c:auto val="1"/>
        <c:lblAlgn val="ctr"/>
        <c:lblOffset val="100"/>
        <c:noMultiLvlLbl val="0"/>
      </c:catAx>
      <c:valAx>
        <c:axId val="128636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36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226265</xdr:colOff>
      <xdr:row>2</xdr:row>
      <xdr:rowOff>36493</xdr:rowOff>
    </xdr:from>
    <xdr:to>
      <xdr:col>14</xdr:col>
      <xdr:colOff>722587</xdr:colOff>
      <xdr:row>18</xdr:row>
      <xdr:rowOff>29195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AABA06-D8FF-3E7F-3C1A-10766C020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483913</xdr:colOff>
      <xdr:row>2</xdr:row>
      <xdr:rowOff>167871</xdr:rowOff>
    </xdr:from>
    <xdr:to>
      <xdr:col>7</xdr:col>
      <xdr:colOff>766379</xdr:colOff>
      <xdr:row>17</xdr:row>
      <xdr:rowOff>175172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FCCC0D-ACBF-46E6-5A9A-AE660E5A7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1268449</xdr:colOff>
      <xdr:row>10</xdr:row>
      <xdr:rowOff>26175</xdr:rowOff>
    </xdr:from>
    <xdr:to>
      <xdr:col>12</xdr:col>
      <xdr:colOff>92927</xdr:colOff>
      <xdr:row>22</xdr:row>
      <xdr:rowOff>170366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89E397-3ECB-F1A7-70E3-F3F406BA8C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238511</xdr:colOff>
      <xdr:row>2</xdr:row>
      <xdr:rowOff>119102</xdr:rowOff>
    </xdr:from>
    <xdr:to>
      <xdr:col>8</xdr:col>
      <xdr:colOff>890548</xdr:colOff>
      <xdr:row>19</xdr:row>
      <xdr:rowOff>15487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D6E6C9-191D-3A33-72D1-D531C3888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501833</xdr:colOff>
      <xdr:row>0</xdr:row>
      <xdr:rowOff>46014</xdr:rowOff>
    </xdr:from>
    <xdr:to>
      <xdr:col>17</xdr:col>
      <xdr:colOff>423332</xdr:colOff>
      <xdr:row>25</xdr:row>
      <xdr:rowOff>92029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CBE78A-96B4-3322-84D3-59597CD1B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C5A442-7D01-4EB9-BEBE-54BF1DF41A0B}" name="Table1" displayName="Table1" ref="A1:E25" totalsRowShown="0">
  <autoFilter ref="A1:E25" xr:uid="{18C5A442-7D01-4EB9-BEBE-54BF1DF41A0B}"/>
  <tableColumns count="5">
    <tableColumn id="1" xr3:uid="{9D681101-E454-43AE-86E4-027EAFAD72BF}" name="Date" dataDxfId="3"/>
    <tableColumn id="2" xr3:uid="{E0902EFB-7743-43DD-B8C3-D54C0C4982FA}" name="Sales"/>
    <tableColumn id="3" xr3:uid="{80D93AE9-363A-45B5-9B87-134646CE2E01}" name="Forecast(Sales)" dataDxfId="2">
      <calculatedColumnFormula>_xlfn.FORECAST.ETS(A2,$B$2:$B$17,$A$2:$A$17,1,1)</calculatedColumnFormula>
    </tableColumn>
    <tableColumn id="4" xr3:uid="{7BAAA644-7AFF-413F-992B-32C205D3AD4C}" name="Lower Confidence Bound(Sales)" dataDxfId="1">
      <calculatedColumnFormula>C2-_xlfn.FORECAST.ETS.CONFINT(A2,$B$2:$B$17,$A$2:$A$17,0.95,1,1)</calculatedColumnFormula>
    </tableColumn>
    <tableColumn id="5" xr3:uid="{1ED3754F-1085-4684-B52F-3A76211AAF7C}" name="Upper Confidence Bound(Sales)" dataDxfId="0">
      <calculatedColumnFormula>C2+_xlfn.FORECAST.ETS.CONFINT(A2,$B$2:$B$17,$A$2:$A$17,0.95,1,1)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8157-8DEF-F841-8EFA-010A8C2D9551}">
  <dimension ref="B2:J35"/>
  <sheetViews>
    <sheetView zoomScale="53" zoomScaleNormal="90" workbookViewId="0">
      <selection activeCell="F25" sqref="F25:I27"/>
    </sheetView>
  </sheetViews>
  <sheetFormatPr defaultColWidth="11.1640625" defaultRowHeight="15.5" x14ac:dyDescent="0.35"/>
  <cols>
    <col min="1" max="1" width="3.6640625" customWidth="1"/>
    <col min="3" max="3" width="11.33203125" customWidth="1"/>
    <col min="4" max="4" width="7.1640625" customWidth="1"/>
    <col min="6" max="6" width="14.4140625" bestFit="1" customWidth="1"/>
    <col min="7" max="7" width="14.6640625" customWidth="1"/>
    <col min="8" max="8" width="13.25" customWidth="1"/>
    <col min="9" max="9" width="11.9140625" bestFit="1" customWidth="1"/>
    <col min="10" max="10" width="15.08203125" customWidth="1"/>
  </cols>
  <sheetData>
    <row r="2" spans="2:10" ht="23.5" x14ac:dyDescent="0.55000000000000004">
      <c r="B2" s="7" t="s">
        <v>1</v>
      </c>
      <c r="C2" s="6"/>
      <c r="D2" s="6"/>
      <c r="E2" s="6"/>
    </row>
    <row r="4" spans="2:10" x14ac:dyDescent="0.35">
      <c r="B4" s="5" t="s">
        <v>0</v>
      </c>
      <c r="C4" s="5" t="s">
        <v>2</v>
      </c>
      <c r="I4" s="5" t="s">
        <v>0</v>
      </c>
      <c r="J4" s="5" t="s">
        <v>3</v>
      </c>
    </row>
    <row r="5" spans="2:10" x14ac:dyDescent="0.35">
      <c r="B5" s="1">
        <v>44286</v>
      </c>
      <c r="C5" s="3">
        <v>98997</v>
      </c>
      <c r="I5" s="1">
        <v>45747</v>
      </c>
      <c r="J5" s="10">
        <f>_xlfn.FORECAST.LINEAR(I5,$C$5:$C$20,$B$5:$B$20)</f>
        <v>149924.74872790929</v>
      </c>
    </row>
    <row r="6" spans="2:10" x14ac:dyDescent="0.35">
      <c r="B6" s="1">
        <v>44377</v>
      </c>
      <c r="C6" s="3">
        <v>114698</v>
      </c>
      <c r="I6" s="1">
        <v>45838</v>
      </c>
      <c r="J6" s="10">
        <f t="shared" ref="J6:J12" si="0">_xlfn.FORECAST.LINEAR(I6,$C$5:$C$20,$B$5:$B$20)</f>
        <v>153362.28530553775</v>
      </c>
    </row>
    <row r="7" spans="2:10" x14ac:dyDescent="0.35">
      <c r="B7" s="1">
        <v>44469</v>
      </c>
      <c r="C7" s="3">
        <v>124669</v>
      </c>
      <c r="I7" s="1">
        <v>45930</v>
      </c>
      <c r="J7" s="10">
        <f t="shared" si="0"/>
        <v>156837.59701039316</v>
      </c>
    </row>
    <row r="8" spans="2:10" x14ac:dyDescent="0.35">
      <c r="B8" s="1">
        <v>44561</v>
      </c>
      <c r="C8" s="3">
        <v>99765</v>
      </c>
      <c r="I8" s="1">
        <v>46022</v>
      </c>
      <c r="J8" s="10">
        <f t="shared" si="0"/>
        <v>160312.90871524834</v>
      </c>
    </row>
    <row r="9" spans="2:10" x14ac:dyDescent="0.35">
      <c r="B9" s="1">
        <v>44651</v>
      </c>
      <c r="C9" s="3">
        <v>87992</v>
      </c>
      <c r="I9" s="1">
        <v>46112</v>
      </c>
      <c r="J9" s="10">
        <f t="shared" si="0"/>
        <v>163712.67016565008</v>
      </c>
    </row>
    <row r="10" spans="2:10" x14ac:dyDescent="0.35">
      <c r="B10" s="1">
        <v>44742</v>
      </c>
      <c r="C10" s="3">
        <v>89992</v>
      </c>
      <c r="I10" s="1">
        <v>46203</v>
      </c>
      <c r="J10" s="10">
        <f t="shared" si="0"/>
        <v>167150.20674327877</v>
      </c>
    </row>
    <row r="11" spans="2:10" x14ac:dyDescent="0.35">
      <c r="B11" s="1">
        <v>44834</v>
      </c>
      <c r="C11" s="3">
        <v>134675</v>
      </c>
      <c r="D11" s="4"/>
      <c r="I11" s="1">
        <v>46295</v>
      </c>
      <c r="J11" s="10">
        <f t="shared" si="0"/>
        <v>170625.51844813395</v>
      </c>
    </row>
    <row r="12" spans="2:10" x14ac:dyDescent="0.35">
      <c r="B12" s="1">
        <v>44926</v>
      </c>
      <c r="C12" s="3">
        <v>105999</v>
      </c>
      <c r="D12" s="4"/>
      <c r="I12" s="1">
        <v>46387</v>
      </c>
      <c r="J12" s="10">
        <f t="shared" si="0"/>
        <v>174100.83015298913</v>
      </c>
    </row>
    <row r="13" spans="2:10" x14ac:dyDescent="0.35">
      <c r="B13" s="1">
        <v>45016</v>
      </c>
      <c r="C13" s="3">
        <v>95888</v>
      </c>
      <c r="D13" s="4"/>
    </row>
    <row r="14" spans="2:10" x14ac:dyDescent="0.35">
      <c r="B14" s="1">
        <v>45107</v>
      </c>
      <c r="C14" s="3">
        <v>109889</v>
      </c>
      <c r="D14" s="4"/>
    </row>
    <row r="15" spans="2:10" x14ac:dyDescent="0.35">
      <c r="B15" s="1">
        <v>45199</v>
      </c>
      <c r="C15" s="3">
        <v>175669</v>
      </c>
      <c r="D15" s="4"/>
    </row>
    <row r="16" spans="2:10" x14ac:dyDescent="0.35">
      <c r="B16" s="1">
        <v>45291</v>
      </c>
      <c r="C16" s="3">
        <v>109885</v>
      </c>
      <c r="D16" s="4"/>
    </row>
    <row r="17" spans="2:9" x14ac:dyDescent="0.35">
      <c r="B17" s="1">
        <v>45382</v>
      </c>
      <c r="C17" s="3">
        <v>113225</v>
      </c>
      <c r="D17" s="4"/>
    </row>
    <row r="18" spans="2:9" x14ac:dyDescent="0.35">
      <c r="B18" s="1">
        <v>45473</v>
      </c>
      <c r="C18" s="3">
        <v>149889</v>
      </c>
      <c r="D18" s="4"/>
    </row>
    <row r="19" spans="2:9" x14ac:dyDescent="0.35">
      <c r="B19" s="1">
        <v>45565</v>
      </c>
      <c r="C19" s="3">
        <v>175998</v>
      </c>
      <c r="D19" s="4"/>
    </row>
    <row r="20" spans="2:9" x14ac:dyDescent="0.35">
      <c r="B20" s="1">
        <v>45657</v>
      </c>
      <c r="C20" s="3">
        <v>142550</v>
      </c>
      <c r="D20" s="4"/>
    </row>
    <row r="21" spans="2:9" x14ac:dyDescent="0.35">
      <c r="D21" s="2"/>
    </row>
    <row r="22" spans="2:9" x14ac:dyDescent="0.35">
      <c r="D22" s="2"/>
    </row>
    <row r="23" spans="2:9" x14ac:dyDescent="0.35">
      <c r="D23" s="2"/>
    </row>
    <row r="24" spans="2:9" x14ac:dyDescent="0.35">
      <c r="D24" s="2"/>
    </row>
    <row r="25" spans="2:9" x14ac:dyDescent="0.35">
      <c r="D25" s="2"/>
      <c r="F25" s="14"/>
      <c r="G25" s="14"/>
      <c r="H25" s="14"/>
      <c r="I25" s="14"/>
    </row>
    <row r="26" spans="2:9" x14ac:dyDescent="0.35">
      <c r="D26" s="2"/>
      <c r="F26" s="15"/>
      <c r="G26" s="15"/>
      <c r="H26" s="15"/>
      <c r="I26" s="15"/>
    </row>
    <row r="27" spans="2:9" x14ac:dyDescent="0.35">
      <c r="D27" s="2"/>
      <c r="F27" s="16"/>
      <c r="G27" s="16"/>
      <c r="H27" s="16"/>
      <c r="I27" s="16"/>
    </row>
    <row r="28" spans="2:9" x14ac:dyDescent="0.35">
      <c r="D28" s="2"/>
      <c r="F28" s="9"/>
      <c r="G28" s="9"/>
      <c r="H28" s="9"/>
      <c r="I28" s="9"/>
    </row>
    <row r="29" spans="2:9" x14ac:dyDescent="0.35">
      <c r="B29" s="1"/>
      <c r="D29" s="2"/>
      <c r="F29" s="9"/>
      <c r="G29" s="9"/>
      <c r="H29" s="9"/>
      <c r="I29" s="9"/>
    </row>
    <row r="30" spans="2:9" x14ac:dyDescent="0.35">
      <c r="B30" s="1"/>
      <c r="D30" s="2"/>
      <c r="F30" s="9"/>
      <c r="G30" s="9"/>
      <c r="H30" s="9"/>
      <c r="I30" s="9"/>
    </row>
    <row r="31" spans="2:9" x14ac:dyDescent="0.35">
      <c r="B31" s="1"/>
      <c r="D31" s="2"/>
      <c r="F31" s="9"/>
      <c r="G31" s="9"/>
      <c r="H31" s="9"/>
      <c r="I31" s="9"/>
    </row>
    <row r="32" spans="2:9" x14ac:dyDescent="0.35">
      <c r="B32" s="1"/>
      <c r="D32" s="2"/>
      <c r="F32" s="9"/>
      <c r="G32" s="9"/>
      <c r="H32" s="9"/>
      <c r="I32" s="9"/>
    </row>
    <row r="33" spans="2:9" x14ac:dyDescent="0.35">
      <c r="B33" s="1"/>
      <c r="D33" s="2"/>
      <c r="F33" s="9"/>
      <c r="G33" s="9"/>
      <c r="H33" s="9"/>
      <c r="I33" s="9"/>
    </row>
    <row r="34" spans="2:9" x14ac:dyDescent="0.35">
      <c r="B34" s="1"/>
      <c r="D34" s="2"/>
      <c r="F34" s="9"/>
      <c r="G34" s="9"/>
      <c r="H34" s="9"/>
      <c r="I34" s="9"/>
    </row>
    <row r="35" spans="2:9" x14ac:dyDescent="0.35">
      <c r="B35" s="1"/>
      <c r="D35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7509E-478B-430F-B8B2-7E044E9397D2}">
  <dimension ref="B2:M34"/>
  <sheetViews>
    <sheetView tabSelected="1" topLeftCell="A2" zoomScale="82" zoomScaleNormal="90" workbookViewId="0">
      <selection activeCell="H24" sqref="H24"/>
    </sheetView>
  </sheetViews>
  <sheetFormatPr defaultColWidth="11.1640625" defaultRowHeight="15.5" x14ac:dyDescent="0.35"/>
  <cols>
    <col min="1" max="1" width="3.6640625" customWidth="1"/>
    <col min="3" max="3" width="12.5" customWidth="1"/>
    <col min="4" max="4" width="7.1640625" customWidth="1"/>
    <col min="8" max="8" width="14.4140625" bestFit="1" customWidth="1"/>
    <col min="9" max="10" width="16.83203125" customWidth="1"/>
    <col min="11" max="11" width="19.1640625" customWidth="1"/>
    <col min="12" max="12" width="20.6640625" customWidth="1"/>
    <col min="13" max="13" width="16.83203125" customWidth="1"/>
  </cols>
  <sheetData>
    <row r="2" spans="2:13" ht="23.5" x14ac:dyDescent="0.55000000000000004">
      <c r="B2" s="7" t="s">
        <v>1</v>
      </c>
      <c r="C2" s="6"/>
      <c r="D2" s="6"/>
      <c r="E2" s="6"/>
      <c r="F2" s="19"/>
      <c r="G2" s="19"/>
      <c r="J2" s="5" t="s">
        <v>0</v>
      </c>
      <c r="K2" s="5" t="s">
        <v>4</v>
      </c>
      <c r="L2" s="5" t="s">
        <v>5</v>
      </c>
    </row>
    <row r="3" spans="2:13" x14ac:dyDescent="0.35">
      <c r="B3" s="5" t="s">
        <v>0</v>
      </c>
      <c r="C3" s="5" t="s">
        <v>2</v>
      </c>
      <c r="J3" s="1">
        <v>45747</v>
      </c>
      <c r="K3" s="12">
        <f>_xlfn.FORECAST.LINEAR(J3,$C$4:$C$19,$B$4:$B$19)</f>
        <v>149924.74872790929</v>
      </c>
      <c r="L3" s="12">
        <f t="shared" ref="L3:L10" si="0">_xlfn.FORECAST.ETS(J3,$C$4:$C$19,$B$4:$B$19)</f>
        <v>137425.70055998367</v>
      </c>
    </row>
    <row r="4" spans="2:13" x14ac:dyDescent="0.35">
      <c r="B4" s="1">
        <v>44286</v>
      </c>
      <c r="C4" s="11">
        <v>98997</v>
      </c>
      <c r="J4" s="1">
        <v>45838</v>
      </c>
      <c r="K4" s="12">
        <f t="shared" ref="K4:K10" si="1">_xlfn.FORECAST.LINEAR(J4,$C$4:$C$19,$B$4:$B$19)</f>
        <v>153362.28530553775</v>
      </c>
      <c r="L4" s="12">
        <f t="shared" si="0"/>
        <v>173126.20038627624</v>
      </c>
      <c r="M4" s="17"/>
    </row>
    <row r="5" spans="2:13" x14ac:dyDescent="0.35">
      <c r="B5" s="1">
        <v>44377</v>
      </c>
      <c r="C5" s="11">
        <v>114698</v>
      </c>
      <c r="J5" s="1">
        <v>45930</v>
      </c>
      <c r="K5" s="12">
        <f t="shared" si="1"/>
        <v>156837.59701039316</v>
      </c>
      <c r="L5" s="12">
        <f t="shared" si="0"/>
        <v>203835.99420909263</v>
      </c>
      <c r="M5" s="18"/>
    </row>
    <row r="6" spans="2:13" x14ac:dyDescent="0.35">
      <c r="B6" s="1">
        <v>44469</v>
      </c>
      <c r="C6" s="11">
        <v>124669</v>
      </c>
      <c r="J6" s="1">
        <v>46022</v>
      </c>
      <c r="K6" s="12">
        <f t="shared" si="1"/>
        <v>160312.90871524834</v>
      </c>
      <c r="L6" s="12">
        <f t="shared" si="0"/>
        <v>170665.09537797375</v>
      </c>
      <c r="M6" s="18"/>
    </row>
    <row r="7" spans="2:13" x14ac:dyDescent="0.35">
      <c r="B7" s="1">
        <v>44561</v>
      </c>
      <c r="C7" s="11">
        <v>99765</v>
      </c>
      <c r="J7" s="1">
        <v>46112</v>
      </c>
      <c r="K7" s="12">
        <f t="shared" si="1"/>
        <v>163712.67016565008</v>
      </c>
      <c r="L7" s="12">
        <f t="shared" si="0"/>
        <v>165558.78439930358</v>
      </c>
      <c r="M7" s="18"/>
    </row>
    <row r="8" spans="2:13" x14ac:dyDescent="0.35">
      <c r="B8" s="1">
        <v>44651</v>
      </c>
      <c r="C8" s="11">
        <v>87992</v>
      </c>
      <c r="J8" s="1">
        <v>46203</v>
      </c>
      <c r="K8" s="12">
        <f t="shared" si="1"/>
        <v>167150.20674327877</v>
      </c>
      <c r="L8" s="12">
        <f t="shared" si="0"/>
        <v>201259.28422559614</v>
      </c>
      <c r="M8" s="18"/>
    </row>
    <row r="9" spans="2:13" x14ac:dyDescent="0.35">
      <c r="B9" s="1">
        <v>44742</v>
      </c>
      <c r="C9" s="11">
        <v>89992</v>
      </c>
      <c r="J9" s="1">
        <v>46295</v>
      </c>
      <c r="K9" s="12">
        <f t="shared" si="1"/>
        <v>170625.51844813395</v>
      </c>
      <c r="L9" s="12">
        <f t="shared" si="0"/>
        <v>231969.07804841254</v>
      </c>
      <c r="M9" s="18"/>
    </row>
    <row r="10" spans="2:13" x14ac:dyDescent="0.35">
      <c r="B10" s="1">
        <v>44834</v>
      </c>
      <c r="C10" s="11">
        <v>134675</v>
      </c>
      <c r="D10" s="4"/>
      <c r="J10" s="1">
        <v>46387</v>
      </c>
      <c r="K10" s="12">
        <f t="shared" si="1"/>
        <v>174100.83015298913</v>
      </c>
      <c r="L10" s="12">
        <f t="shared" si="0"/>
        <v>198798.17921729368</v>
      </c>
      <c r="M10" s="18"/>
    </row>
    <row r="11" spans="2:13" x14ac:dyDescent="0.35">
      <c r="B11" s="1">
        <v>44926</v>
      </c>
      <c r="C11" s="11">
        <v>105999</v>
      </c>
      <c r="D11" s="4"/>
      <c r="K11" s="18"/>
      <c r="L11" s="18"/>
      <c r="M11" s="18"/>
    </row>
    <row r="12" spans="2:13" x14ac:dyDescent="0.35">
      <c r="B12" s="1">
        <v>45016</v>
      </c>
      <c r="C12" s="11">
        <v>95888</v>
      </c>
      <c r="D12" s="4"/>
      <c r="K12" s="18"/>
      <c r="L12" s="18"/>
      <c r="M12" s="18"/>
    </row>
    <row r="13" spans="2:13" x14ac:dyDescent="0.35">
      <c r="B13" s="1">
        <v>45107</v>
      </c>
      <c r="C13" s="11">
        <v>109889</v>
      </c>
      <c r="D13" s="4"/>
    </row>
    <row r="14" spans="2:13" x14ac:dyDescent="0.35">
      <c r="B14" s="1">
        <v>45199</v>
      </c>
      <c r="C14" s="11">
        <v>175669</v>
      </c>
      <c r="D14" s="4"/>
    </row>
    <row r="15" spans="2:13" x14ac:dyDescent="0.35">
      <c r="B15" s="1">
        <v>45291</v>
      </c>
      <c r="C15" s="11">
        <v>109885</v>
      </c>
      <c r="D15" s="4"/>
    </row>
    <row r="16" spans="2:13" x14ac:dyDescent="0.35">
      <c r="B16" s="1">
        <v>45382</v>
      </c>
      <c r="C16" s="11">
        <v>113225</v>
      </c>
      <c r="D16" s="4"/>
    </row>
    <row r="17" spans="2:4" x14ac:dyDescent="0.35">
      <c r="B17" s="1">
        <v>45473</v>
      </c>
      <c r="C17" s="11">
        <v>149889</v>
      </c>
      <c r="D17" s="4"/>
    </row>
    <row r="18" spans="2:4" x14ac:dyDescent="0.35">
      <c r="B18" s="1">
        <v>45565</v>
      </c>
      <c r="C18" s="11">
        <v>175998</v>
      </c>
      <c r="D18" s="4"/>
    </row>
    <row r="19" spans="2:4" x14ac:dyDescent="0.35">
      <c r="B19" s="1">
        <v>45657</v>
      </c>
      <c r="C19" s="11">
        <v>142550</v>
      </c>
      <c r="D19" s="4"/>
    </row>
    <row r="20" spans="2:4" x14ac:dyDescent="0.35">
      <c r="D20" s="2"/>
    </row>
    <row r="21" spans="2:4" x14ac:dyDescent="0.35">
      <c r="D21" s="2"/>
    </row>
    <row r="22" spans="2:4" x14ac:dyDescent="0.35">
      <c r="D22" s="2"/>
    </row>
    <row r="23" spans="2:4" x14ac:dyDescent="0.35">
      <c r="D23" s="2"/>
    </row>
    <row r="24" spans="2:4" x14ac:dyDescent="0.35">
      <c r="D24" s="2"/>
    </row>
    <row r="25" spans="2:4" x14ac:dyDescent="0.35">
      <c r="D25" s="2"/>
    </row>
    <row r="26" spans="2:4" x14ac:dyDescent="0.35">
      <c r="D26" s="2"/>
    </row>
    <row r="27" spans="2:4" x14ac:dyDescent="0.35">
      <c r="D27" s="2"/>
    </row>
    <row r="28" spans="2:4" x14ac:dyDescent="0.35">
      <c r="B28" s="1"/>
      <c r="D28" s="2"/>
    </row>
    <row r="29" spans="2:4" x14ac:dyDescent="0.35">
      <c r="B29" s="1"/>
      <c r="D29" s="2"/>
    </row>
    <row r="30" spans="2:4" x14ac:dyDescent="0.35">
      <c r="B30" s="1"/>
      <c r="D30" s="2"/>
    </row>
    <row r="31" spans="2:4" x14ac:dyDescent="0.35">
      <c r="B31" s="1"/>
      <c r="D31" s="2"/>
    </row>
    <row r="32" spans="2:4" x14ac:dyDescent="0.35">
      <c r="B32" s="1"/>
      <c r="D32" s="2"/>
    </row>
    <row r="33" spans="2:4" x14ac:dyDescent="0.35">
      <c r="B33" s="1"/>
      <c r="D33" s="2"/>
    </row>
    <row r="34" spans="2:4" x14ac:dyDescent="0.35">
      <c r="B34" s="1"/>
      <c r="D34" s="2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3BCAC-7238-4A71-BE4B-ECC0A3F5911D}">
  <dimension ref="B2:K35"/>
  <sheetViews>
    <sheetView topLeftCell="A2" zoomScale="82" zoomScaleNormal="90" workbookViewId="0">
      <selection activeCell="H9" sqref="H9"/>
    </sheetView>
  </sheetViews>
  <sheetFormatPr defaultColWidth="11.1640625" defaultRowHeight="15.5" x14ac:dyDescent="0.35"/>
  <cols>
    <col min="1" max="1" width="3.6640625" customWidth="1"/>
    <col min="3" max="3" width="12.5" customWidth="1"/>
    <col min="4" max="4" width="7.1640625" customWidth="1"/>
    <col min="6" max="6" width="14.4140625" bestFit="1" customWidth="1"/>
    <col min="7" max="11" width="16.83203125" customWidth="1"/>
  </cols>
  <sheetData>
    <row r="2" spans="2:11" ht="23.5" x14ac:dyDescent="0.55000000000000004">
      <c r="B2" s="7" t="s">
        <v>1</v>
      </c>
      <c r="C2" s="6"/>
      <c r="D2" s="6"/>
      <c r="E2" s="6"/>
    </row>
    <row r="4" spans="2:11" x14ac:dyDescent="0.35">
      <c r="B4" s="5" t="s">
        <v>0</v>
      </c>
      <c r="C4" s="5" t="s">
        <v>2</v>
      </c>
      <c r="F4" s="5" t="s">
        <v>0</v>
      </c>
      <c r="G4" s="5" t="s">
        <v>4</v>
      </c>
      <c r="H4" s="5" t="s">
        <v>5</v>
      </c>
      <c r="I4" s="5" t="s">
        <v>6</v>
      </c>
      <c r="J4" s="5" t="s">
        <v>7</v>
      </c>
      <c r="K4" s="5" t="s">
        <v>8</v>
      </c>
    </row>
    <row r="5" spans="2:11" x14ac:dyDescent="0.35">
      <c r="B5" s="1">
        <v>44286</v>
      </c>
      <c r="C5" s="11">
        <v>98997</v>
      </c>
      <c r="F5" s="1">
        <v>45747</v>
      </c>
      <c r="G5" s="12">
        <f>_xlfn.FORECAST.LINEAR(F5,$C$5:$C$20,$B$5:$B$20)</f>
        <v>149924.74872790929</v>
      </c>
      <c r="H5" s="12">
        <f t="shared" ref="H5:H12" si="0">_xlfn.FORECAST.ETS(F5,$C$5:$C$20,$B$5:$B$20)</f>
        <v>137425.70055998367</v>
      </c>
      <c r="I5" s="12">
        <f t="shared" ref="I5:I12" si="1">_xlfn.FORECAST.ETS.CONFINT(F5,$C$5:$C$20,$B$5:$B$20,90%)</f>
        <v>27136.807009251435</v>
      </c>
      <c r="J5" s="12">
        <f t="shared" ref="J5:J12" si="2">I5+H5</f>
        <v>164562.50756923511</v>
      </c>
      <c r="K5" s="12">
        <f t="shared" ref="K5:K12" si="3">H5-I5</f>
        <v>110288.89355073223</v>
      </c>
    </row>
    <row r="6" spans="2:11" x14ac:dyDescent="0.35">
      <c r="B6" s="1">
        <v>44377</v>
      </c>
      <c r="C6" s="11">
        <v>114698</v>
      </c>
      <c r="F6" s="1">
        <v>45838</v>
      </c>
      <c r="G6" s="12">
        <f t="shared" ref="G6:G12" si="4">_xlfn.FORECAST.LINEAR(F6,$C$5:$C$20,$B$5:$B$20)</f>
        <v>153362.28530553775</v>
      </c>
      <c r="H6" s="12">
        <f t="shared" si="0"/>
        <v>173126.20038627624</v>
      </c>
      <c r="I6" s="12">
        <f t="shared" si="1"/>
        <v>30294.869050444762</v>
      </c>
      <c r="J6" s="12">
        <f t="shared" si="2"/>
        <v>203421.06943672101</v>
      </c>
      <c r="K6" s="12">
        <f t="shared" si="3"/>
        <v>142831.33133583146</v>
      </c>
    </row>
    <row r="7" spans="2:11" x14ac:dyDescent="0.35">
      <c r="B7" s="1">
        <v>44469</v>
      </c>
      <c r="C7" s="11">
        <v>124669</v>
      </c>
      <c r="F7" s="1">
        <v>45930</v>
      </c>
      <c r="G7" s="12">
        <f t="shared" si="4"/>
        <v>156837.59701039316</v>
      </c>
      <c r="H7" s="12">
        <f t="shared" si="0"/>
        <v>203835.99420909263</v>
      </c>
      <c r="I7" s="12">
        <f t="shared" si="1"/>
        <v>36432.347755968854</v>
      </c>
      <c r="J7" s="12">
        <f t="shared" si="2"/>
        <v>240268.3419650615</v>
      </c>
      <c r="K7" s="12">
        <f t="shared" si="3"/>
        <v>167403.64645312377</v>
      </c>
    </row>
    <row r="8" spans="2:11" x14ac:dyDescent="0.35">
      <c r="B8" s="1">
        <v>44561</v>
      </c>
      <c r="C8" s="11">
        <v>99765</v>
      </c>
      <c r="F8" s="1">
        <v>46022</v>
      </c>
      <c r="G8" s="12">
        <f t="shared" si="4"/>
        <v>160312.90871524834</v>
      </c>
      <c r="H8" s="12">
        <f t="shared" si="0"/>
        <v>170665.09537797375</v>
      </c>
      <c r="I8" s="12">
        <f t="shared" si="1"/>
        <v>45428.943972597153</v>
      </c>
      <c r="J8" s="12">
        <f t="shared" si="2"/>
        <v>216094.03935057091</v>
      </c>
      <c r="K8" s="12">
        <f t="shared" si="3"/>
        <v>125236.15140537659</v>
      </c>
    </row>
    <row r="9" spans="2:11" x14ac:dyDescent="0.35">
      <c r="B9" s="1">
        <v>44651</v>
      </c>
      <c r="C9" s="11">
        <v>87992</v>
      </c>
      <c r="F9" s="1">
        <v>46112</v>
      </c>
      <c r="G9" s="12">
        <f t="shared" si="4"/>
        <v>163712.67016565008</v>
      </c>
      <c r="H9" s="12">
        <f t="shared" si="0"/>
        <v>165558.78439930358</v>
      </c>
      <c r="I9" s="12">
        <f t="shared" si="1"/>
        <v>70673.222746377025</v>
      </c>
      <c r="J9" s="12">
        <f t="shared" si="2"/>
        <v>236232.0071456806</v>
      </c>
      <c r="K9" s="12">
        <f t="shared" si="3"/>
        <v>94885.561652926554</v>
      </c>
    </row>
    <row r="10" spans="2:11" x14ac:dyDescent="0.35">
      <c r="B10" s="1">
        <v>44742</v>
      </c>
      <c r="C10" s="11">
        <v>89992</v>
      </c>
      <c r="F10" s="1">
        <v>46203</v>
      </c>
      <c r="G10" s="12">
        <f t="shared" si="4"/>
        <v>167150.20674327877</v>
      </c>
      <c r="H10" s="12">
        <f t="shared" si="0"/>
        <v>201259.28422559614</v>
      </c>
      <c r="I10" s="12">
        <f t="shared" si="1"/>
        <v>81379.978014587527</v>
      </c>
      <c r="J10" s="12">
        <f t="shared" si="2"/>
        <v>282639.26224018366</v>
      </c>
      <c r="K10" s="12">
        <f t="shared" si="3"/>
        <v>119879.30621100862</v>
      </c>
    </row>
    <row r="11" spans="2:11" x14ac:dyDescent="0.35">
      <c r="B11" s="1">
        <v>44834</v>
      </c>
      <c r="C11" s="11">
        <v>134675</v>
      </c>
      <c r="D11" s="4"/>
      <c r="F11" s="1">
        <v>46295</v>
      </c>
      <c r="G11" s="12">
        <f t="shared" si="4"/>
        <v>170625.51844813395</v>
      </c>
      <c r="H11" s="12">
        <f t="shared" si="0"/>
        <v>231969.07804841254</v>
      </c>
      <c r="I11" s="12">
        <f t="shared" si="1"/>
        <v>94106.596090446881</v>
      </c>
      <c r="J11" s="12">
        <f t="shared" si="2"/>
        <v>326075.67413885944</v>
      </c>
      <c r="K11" s="12">
        <f t="shared" si="3"/>
        <v>137862.48195796565</v>
      </c>
    </row>
    <row r="12" spans="2:11" x14ac:dyDescent="0.35">
      <c r="B12" s="1">
        <v>44926</v>
      </c>
      <c r="C12" s="11">
        <v>105999</v>
      </c>
      <c r="D12" s="4"/>
      <c r="F12" s="1">
        <v>46387</v>
      </c>
      <c r="G12" s="12">
        <f t="shared" si="4"/>
        <v>174100.83015298913</v>
      </c>
      <c r="H12" s="12">
        <f t="shared" si="0"/>
        <v>198798.17921729368</v>
      </c>
      <c r="I12" s="12">
        <f t="shared" si="1"/>
        <v>108652.8372118741</v>
      </c>
      <c r="J12" s="12">
        <f t="shared" si="2"/>
        <v>307451.01642916776</v>
      </c>
      <c r="K12" s="12">
        <f t="shared" si="3"/>
        <v>90145.342005419589</v>
      </c>
    </row>
    <row r="13" spans="2:11" x14ac:dyDescent="0.35">
      <c r="B13" s="1">
        <v>45016</v>
      </c>
      <c r="C13" s="11">
        <v>95888</v>
      </c>
      <c r="D13" s="4"/>
    </row>
    <row r="14" spans="2:11" x14ac:dyDescent="0.35">
      <c r="B14" s="1">
        <v>45107</v>
      </c>
      <c r="C14" s="11">
        <v>109889</v>
      </c>
      <c r="D14" s="4"/>
    </row>
    <row r="15" spans="2:11" x14ac:dyDescent="0.35">
      <c r="B15" s="1">
        <v>45199</v>
      </c>
      <c r="C15" s="11">
        <v>175669</v>
      </c>
      <c r="D15" s="4"/>
    </row>
    <row r="16" spans="2:11" x14ac:dyDescent="0.35">
      <c r="B16" s="1">
        <v>45291</v>
      </c>
      <c r="C16" s="11">
        <v>109885</v>
      </c>
      <c r="D16" s="4"/>
    </row>
    <row r="17" spans="2:4" x14ac:dyDescent="0.35">
      <c r="B17" s="1">
        <v>45382</v>
      </c>
      <c r="C17" s="11">
        <v>113225</v>
      </c>
      <c r="D17" s="4"/>
    </row>
    <row r="18" spans="2:4" x14ac:dyDescent="0.35">
      <c r="B18" s="1">
        <v>45473</v>
      </c>
      <c r="C18" s="11">
        <v>149889</v>
      </c>
      <c r="D18" s="4"/>
    </row>
    <row r="19" spans="2:4" x14ac:dyDescent="0.35">
      <c r="B19" s="1">
        <v>45565</v>
      </c>
      <c r="C19" s="11">
        <v>175998</v>
      </c>
      <c r="D19" s="4"/>
    </row>
    <row r="20" spans="2:4" x14ac:dyDescent="0.35">
      <c r="B20" s="1">
        <v>45657</v>
      </c>
      <c r="C20" s="11">
        <v>142550</v>
      </c>
      <c r="D20" s="4"/>
    </row>
    <row r="21" spans="2:4" x14ac:dyDescent="0.35">
      <c r="D21" s="2"/>
    </row>
    <row r="22" spans="2:4" x14ac:dyDescent="0.35">
      <c r="D22" s="2"/>
    </row>
    <row r="23" spans="2:4" x14ac:dyDescent="0.35">
      <c r="D23" s="2"/>
    </row>
    <row r="24" spans="2:4" x14ac:dyDescent="0.35">
      <c r="D24" s="2"/>
    </row>
    <row r="25" spans="2:4" x14ac:dyDescent="0.35">
      <c r="D25" s="2"/>
    </row>
    <row r="26" spans="2:4" x14ac:dyDescent="0.35">
      <c r="D26" s="2"/>
    </row>
    <row r="27" spans="2:4" x14ac:dyDescent="0.35">
      <c r="D27" s="2"/>
    </row>
    <row r="28" spans="2:4" x14ac:dyDescent="0.35">
      <c r="D28" s="2"/>
    </row>
    <row r="29" spans="2:4" x14ac:dyDescent="0.35">
      <c r="B29" s="1"/>
      <c r="D29" s="2"/>
    </row>
    <row r="30" spans="2:4" x14ac:dyDescent="0.35">
      <c r="B30" s="1"/>
      <c r="D30" s="2"/>
    </row>
    <row r="31" spans="2:4" x14ac:dyDescent="0.35">
      <c r="B31" s="1"/>
      <c r="D31" s="2"/>
    </row>
    <row r="32" spans="2:4" x14ac:dyDescent="0.35">
      <c r="B32" s="1"/>
      <c r="D32" s="2"/>
    </row>
    <row r="33" spans="2:4" x14ac:dyDescent="0.35">
      <c r="B33" s="1"/>
      <c r="D33" s="2"/>
    </row>
    <row r="34" spans="2:4" x14ac:dyDescent="0.35">
      <c r="B34" s="1"/>
      <c r="D34" s="2"/>
    </row>
    <row r="35" spans="2:4" x14ac:dyDescent="0.35">
      <c r="B35" s="1"/>
      <c r="D35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BA6F-EB78-499D-880B-CB60FD5EE2FC}">
  <dimension ref="B2:J35"/>
  <sheetViews>
    <sheetView zoomScale="82" zoomScaleNormal="90" workbookViewId="0">
      <selection activeCell="B4" sqref="B4:C20"/>
    </sheetView>
  </sheetViews>
  <sheetFormatPr defaultColWidth="11.1640625" defaultRowHeight="15.5" x14ac:dyDescent="0.35"/>
  <cols>
    <col min="1" max="1" width="3.6640625" customWidth="1"/>
    <col min="3" max="3" width="12.5" customWidth="1"/>
    <col min="4" max="4" width="7.1640625" customWidth="1"/>
    <col min="6" max="6" width="14.4140625" bestFit="1" customWidth="1"/>
    <col min="7" max="10" width="16.83203125" customWidth="1"/>
  </cols>
  <sheetData>
    <row r="2" spans="2:10" ht="23.5" x14ac:dyDescent="0.55000000000000004">
      <c r="B2" s="7" t="s">
        <v>1</v>
      </c>
      <c r="C2" s="6"/>
      <c r="D2" s="6"/>
      <c r="E2" s="6"/>
    </row>
    <row r="4" spans="2:10" x14ac:dyDescent="0.35">
      <c r="B4" s="5" t="s">
        <v>0</v>
      </c>
      <c r="C4" s="5" t="s">
        <v>2</v>
      </c>
      <c r="F4" s="5" t="s">
        <v>0</v>
      </c>
      <c r="G4" s="12"/>
      <c r="H4" s="12"/>
      <c r="I4" s="12"/>
      <c r="J4" s="12"/>
    </row>
    <row r="5" spans="2:10" x14ac:dyDescent="0.35">
      <c r="B5" s="1">
        <v>44286</v>
      </c>
      <c r="C5" s="11">
        <v>98997</v>
      </c>
      <c r="F5" s="1">
        <v>45747</v>
      </c>
      <c r="G5" s="12"/>
      <c r="H5" s="12"/>
      <c r="I5" s="12"/>
      <c r="J5" s="12"/>
    </row>
    <row r="6" spans="2:10" x14ac:dyDescent="0.35">
      <c r="B6" s="1">
        <v>44377</v>
      </c>
      <c r="C6" s="11">
        <v>114698</v>
      </c>
      <c r="F6" s="1">
        <v>45838</v>
      </c>
      <c r="G6" s="12"/>
      <c r="H6" s="12"/>
      <c r="I6" s="12"/>
      <c r="J6" s="12"/>
    </row>
    <row r="7" spans="2:10" x14ac:dyDescent="0.35">
      <c r="B7" s="1">
        <v>44469</v>
      </c>
      <c r="C7" s="11">
        <v>124669</v>
      </c>
      <c r="F7" s="1">
        <v>45930</v>
      </c>
      <c r="G7" s="12"/>
      <c r="H7" s="12"/>
      <c r="I7" s="12"/>
      <c r="J7" s="12"/>
    </row>
    <row r="8" spans="2:10" x14ac:dyDescent="0.35">
      <c r="B8" s="1">
        <v>44561</v>
      </c>
      <c r="C8" s="11">
        <v>99765</v>
      </c>
      <c r="F8" s="1">
        <v>46022</v>
      </c>
      <c r="G8" s="12"/>
      <c r="H8" s="12"/>
      <c r="I8" s="12"/>
      <c r="J8" s="12"/>
    </row>
    <row r="9" spans="2:10" x14ac:dyDescent="0.35">
      <c r="B9" s="1">
        <v>44651</v>
      </c>
      <c r="C9" s="11">
        <v>87992</v>
      </c>
      <c r="F9" s="1">
        <v>46112</v>
      </c>
      <c r="G9" s="12"/>
      <c r="H9" s="12"/>
      <c r="I9" s="12"/>
      <c r="J9" s="12"/>
    </row>
    <row r="10" spans="2:10" x14ac:dyDescent="0.35">
      <c r="B10" s="1">
        <v>44742</v>
      </c>
      <c r="C10" s="11">
        <v>89992</v>
      </c>
      <c r="F10" s="1">
        <v>46203</v>
      </c>
      <c r="G10" s="12"/>
      <c r="H10" s="12"/>
      <c r="I10" s="12"/>
      <c r="J10" s="12"/>
    </row>
    <row r="11" spans="2:10" x14ac:dyDescent="0.35">
      <c r="B11" s="1">
        <v>44834</v>
      </c>
      <c r="C11" s="11">
        <v>134675</v>
      </c>
      <c r="D11" s="4"/>
      <c r="F11" s="1">
        <v>46295</v>
      </c>
      <c r="G11" s="12"/>
      <c r="H11" s="12"/>
      <c r="I11" s="12"/>
      <c r="J11" s="12"/>
    </row>
    <row r="12" spans="2:10" x14ac:dyDescent="0.35">
      <c r="B12" s="1">
        <v>44926</v>
      </c>
      <c r="C12" s="11">
        <v>105999</v>
      </c>
      <c r="D12" s="4"/>
      <c r="F12" s="1">
        <v>46387</v>
      </c>
      <c r="G12" s="12"/>
      <c r="H12" s="12"/>
      <c r="I12" s="12"/>
      <c r="J12" s="12"/>
    </row>
    <row r="13" spans="2:10" x14ac:dyDescent="0.35">
      <c r="B13" s="1">
        <v>45016</v>
      </c>
      <c r="C13" s="11">
        <v>95888</v>
      </c>
      <c r="D13" s="4"/>
    </row>
    <row r="14" spans="2:10" x14ac:dyDescent="0.35">
      <c r="B14" s="1">
        <v>45107</v>
      </c>
      <c r="C14" s="11">
        <v>109889</v>
      </c>
      <c r="D14" s="4"/>
    </row>
    <row r="15" spans="2:10" x14ac:dyDescent="0.35">
      <c r="B15" s="1">
        <v>45199</v>
      </c>
      <c r="C15" s="11">
        <v>175669</v>
      </c>
      <c r="D15" s="4"/>
    </row>
    <row r="16" spans="2:10" x14ac:dyDescent="0.35">
      <c r="B16" s="1">
        <v>45291</v>
      </c>
      <c r="C16" s="11">
        <v>109885</v>
      </c>
      <c r="D16" s="4"/>
    </row>
    <row r="17" spans="2:4" x14ac:dyDescent="0.35">
      <c r="B17" s="1">
        <v>45382</v>
      </c>
      <c r="C17" s="11">
        <v>113225</v>
      </c>
      <c r="D17" s="4"/>
    </row>
    <row r="18" spans="2:4" x14ac:dyDescent="0.35">
      <c r="B18" s="1">
        <v>45473</v>
      </c>
      <c r="C18" s="11">
        <v>149889</v>
      </c>
      <c r="D18" s="4"/>
    </row>
    <row r="19" spans="2:4" x14ac:dyDescent="0.35">
      <c r="B19" s="1">
        <v>45565</v>
      </c>
      <c r="C19" s="11">
        <v>175998</v>
      </c>
      <c r="D19" s="4"/>
    </row>
    <row r="20" spans="2:4" x14ac:dyDescent="0.35">
      <c r="B20" s="1">
        <v>45657</v>
      </c>
      <c r="C20" s="11">
        <v>142550</v>
      </c>
      <c r="D20" s="4"/>
    </row>
    <row r="21" spans="2:4" x14ac:dyDescent="0.35">
      <c r="D21" s="2"/>
    </row>
    <row r="22" spans="2:4" x14ac:dyDescent="0.35">
      <c r="D22" s="2"/>
    </row>
    <row r="23" spans="2:4" x14ac:dyDescent="0.35">
      <c r="D23" s="2"/>
    </row>
    <row r="24" spans="2:4" x14ac:dyDescent="0.35">
      <c r="D24" s="2"/>
    </row>
    <row r="25" spans="2:4" x14ac:dyDescent="0.35">
      <c r="D25" s="2"/>
    </row>
    <row r="26" spans="2:4" x14ac:dyDescent="0.35">
      <c r="D26" s="2"/>
    </row>
    <row r="27" spans="2:4" x14ac:dyDescent="0.35">
      <c r="D27" s="2"/>
    </row>
    <row r="28" spans="2:4" x14ac:dyDescent="0.35">
      <c r="D28" s="2"/>
    </row>
    <row r="29" spans="2:4" x14ac:dyDescent="0.35">
      <c r="B29" s="1"/>
      <c r="D29" s="2"/>
    </row>
    <row r="30" spans="2:4" x14ac:dyDescent="0.35">
      <c r="B30" s="1"/>
      <c r="D30" s="2"/>
    </row>
    <row r="31" spans="2:4" x14ac:dyDescent="0.35">
      <c r="B31" s="1"/>
      <c r="D31" s="2"/>
    </row>
    <row r="32" spans="2:4" x14ac:dyDescent="0.35">
      <c r="B32" s="1"/>
      <c r="D32" s="2"/>
    </row>
    <row r="33" spans="2:4" x14ac:dyDescent="0.35">
      <c r="B33" s="1"/>
      <c r="D33" s="2"/>
    </row>
    <row r="34" spans="2:4" x14ac:dyDescent="0.35">
      <c r="B34" s="1"/>
      <c r="D34" s="2"/>
    </row>
    <row r="35" spans="2:4" x14ac:dyDescent="0.35">
      <c r="B35" s="1"/>
      <c r="D35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08F6E-6B2D-4334-9050-43D73749C61C}">
  <dimension ref="A1:E25"/>
  <sheetViews>
    <sheetView zoomScale="69" workbookViewId="0">
      <selection activeCell="C18" sqref="C18"/>
    </sheetView>
  </sheetViews>
  <sheetFormatPr defaultRowHeight="15.5" x14ac:dyDescent="0.35"/>
  <cols>
    <col min="1" max="1" width="8.75" bestFit="1" customWidth="1"/>
    <col min="2" max="2" width="15.75" customWidth="1"/>
    <col min="3" max="3" width="15.08203125" customWidth="1"/>
    <col min="4" max="4" width="28.83203125" customWidth="1"/>
    <col min="5" max="5" width="28.9140625" customWidth="1"/>
  </cols>
  <sheetData>
    <row r="1" spans="1:5" x14ac:dyDescent="0.35">
      <c r="A1" t="s">
        <v>0</v>
      </c>
      <c r="B1" t="s">
        <v>2</v>
      </c>
      <c r="C1" t="s">
        <v>9</v>
      </c>
      <c r="D1" t="s">
        <v>10</v>
      </c>
      <c r="E1" t="s">
        <v>11</v>
      </c>
    </row>
    <row r="2" spans="1:5" x14ac:dyDescent="0.35">
      <c r="A2" s="13">
        <v>44286</v>
      </c>
      <c r="B2" s="8">
        <v>98997</v>
      </c>
    </row>
    <row r="3" spans="1:5" x14ac:dyDescent="0.35">
      <c r="A3" s="13">
        <v>44377</v>
      </c>
      <c r="B3" s="8">
        <v>114698</v>
      </c>
    </row>
    <row r="4" spans="1:5" x14ac:dyDescent="0.35">
      <c r="A4" s="13">
        <v>44469</v>
      </c>
      <c r="B4" s="8">
        <v>124669</v>
      </c>
    </row>
    <row r="5" spans="1:5" x14ac:dyDescent="0.35">
      <c r="A5" s="13">
        <v>44561</v>
      </c>
      <c r="B5" s="8">
        <v>99765</v>
      </c>
    </row>
    <row r="6" spans="1:5" x14ac:dyDescent="0.35">
      <c r="A6" s="13">
        <v>44651</v>
      </c>
      <c r="B6" s="8">
        <v>87992</v>
      </c>
    </row>
    <row r="7" spans="1:5" x14ac:dyDescent="0.35">
      <c r="A7" s="13">
        <v>44742</v>
      </c>
      <c r="B7" s="8">
        <v>89992</v>
      </c>
    </row>
    <row r="8" spans="1:5" x14ac:dyDescent="0.35">
      <c r="A8" s="13">
        <v>44834</v>
      </c>
      <c r="B8" s="8">
        <v>134675</v>
      </c>
    </row>
    <row r="9" spans="1:5" x14ac:dyDescent="0.35">
      <c r="A9" s="13">
        <v>44926</v>
      </c>
      <c r="B9" s="8">
        <v>105999</v>
      </c>
    </row>
    <row r="10" spans="1:5" x14ac:dyDescent="0.35">
      <c r="A10" s="13">
        <v>45016</v>
      </c>
      <c r="B10" s="8">
        <v>95888</v>
      </c>
    </row>
    <row r="11" spans="1:5" x14ac:dyDescent="0.35">
      <c r="A11" s="13">
        <v>45107</v>
      </c>
      <c r="B11" s="8">
        <v>109889</v>
      </c>
    </row>
    <row r="12" spans="1:5" x14ac:dyDescent="0.35">
      <c r="A12" s="13">
        <v>45199</v>
      </c>
      <c r="B12" s="8">
        <v>175669</v>
      </c>
    </row>
    <row r="13" spans="1:5" x14ac:dyDescent="0.35">
      <c r="A13" s="13">
        <v>45291</v>
      </c>
      <c r="B13" s="8">
        <v>109885</v>
      </c>
    </row>
    <row r="14" spans="1:5" x14ac:dyDescent="0.35">
      <c r="A14" s="13">
        <v>45382</v>
      </c>
      <c r="B14" s="8">
        <v>113225</v>
      </c>
    </row>
    <row r="15" spans="1:5" x14ac:dyDescent="0.35">
      <c r="A15" s="13">
        <v>45473</v>
      </c>
      <c r="B15" s="8">
        <v>149889</v>
      </c>
    </row>
    <row r="16" spans="1:5" x14ac:dyDescent="0.35">
      <c r="A16" s="13">
        <v>45565</v>
      </c>
      <c r="B16" s="8">
        <v>175998</v>
      </c>
    </row>
    <row r="17" spans="1:5" x14ac:dyDescent="0.35">
      <c r="A17" s="13">
        <v>45657</v>
      </c>
      <c r="B17" s="8">
        <v>142550</v>
      </c>
      <c r="C17" s="8">
        <v>142550</v>
      </c>
      <c r="D17" s="8">
        <v>142550</v>
      </c>
      <c r="E17" s="8">
        <v>142550</v>
      </c>
    </row>
    <row r="18" spans="1:5" x14ac:dyDescent="0.35">
      <c r="A18" s="13">
        <v>45747</v>
      </c>
      <c r="C18" s="8">
        <f t="shared" ref="C18:C25" si="0">_xlfn.FORECAST.ETS(A18,$B$2:$B$17,$A$2:$A$17,1,1)</f>
        <v>137425.70055998367</v>
      </c>
      <c r="D18" s="8">
        <f t="shared" ref="D18:D25" si="1">C18-_xlfn.FORECAST.ETS.CONFINT(A18,$B$2:$B$17,$A$2:$A$17,0.95,1,1)</f>
        <v>105090.20059691243</v>
      </c>
      <c r="E18" s="8">
        <f t="shared" ref="E18:E25" si="2">C18+_xlfn.FORECAST.ETS.CONFINT(A18,$B$2:$B$17,$A$2:$A$17,0.95,1,1)</f>
        <v>169761.2005230549</v>
      </c>
    </row>
    <row r="19" spans="1:5" x14ac:dyDescent="0.35">
      <c r="A19" s="13">
        <v>45839</v>
      </c>
      <c r="C19" s="8">
        <f t="shared" si="0"/>
        <v>173518.51357118055</v>
      </c>
      <c r="D19" s="8">
        <f t="shared" si="1"/>
        <v>137380.77487111907</v>
      </c>
      <c r="E19" s="8">
        <f t="shared" si="2"/>
        <v>209656.25227124203</v>
      </c>
    </row>
    <row r="20" spans="1:5" x14ac:dyDescent="0.35">
      <c r="A20" s="13">
        <v>45931</v>
      </c>
      <c r="C20" s="8">
        <f t="shared" si="0"/>
        <v>204169.15333698178</v>
      </c>
      <c r="D20" s="8">
        <f t="shared" si="1"/>
        <v>160684.15706452224</v>
      </c>
      <c r="E20" s="8">
        <f t="shared" si="2"/>
        <v>247654.14960944132</v>
      </c>
    </row>
    <row r="21" spans="1:5" x14ac:dyDescent="0.35">
      <c r="A21" s="13">
        <v>46022</v>
      </c>
      <c r="C21" s="8">
        <f t="shared" si="0"/>
        <v>170665.09537797375</v>
      </c>
      <c r="D21" s="8">
        <f t="shared" si="1"/>
        <v>116533.16984791847</v>
      </c>
      <c r="E21" s="8">
        <f t="shared" si="2"/>
        <v>224797.02090802902</v>
      </c>
    </row>
    <row r="22" spans="1:5" x14ac:dyDescent="0.35">
      <c r="A22" s="13">
        <v>46112</v>
      </c>
      <c r="C22" s="8">
        <f t="shared" si="0"/>
        <v>165558.78439930358</v>
      </c>
      <c r="D22" s="8">
        <f t="shared" si="1"/>
        <v>81346.4453895404</v>
      </c>
      <c r="E22" s="8">
        <f t="shared" si="2"/>
        <v>249771.12340906676</v>
      </c>
    </row>
    <row r="23" spans="1:5" x14ac:dyDescent="0.35">
      <c r="A23" s="13">
        <v>46204</v>
      </c>
      <c r="C23" s="8">
        <f t="shared" si="0"/>
        <v>201651.59741050046</v>
      </c>
      <c r="D23" s="8">
        <f t="shared" si="1"/>
        <v>104550.48687138094</v>
      </c>
      <c r="E23" s="8">
        <f t="shared" si="2"/>
        <v>298752.70794961997</v>
      </c>
    </row>
    <row r="24" spans="1:5" x14ac:dyDescent="0.35">
      <c r="A24" s="13">
        <v>46296</v>
      </c>
      <c r="C24" s="8">
        <f t="shared" si="0"/>
        <v>232302.23717630169</v>
      </c>
      <c r="D24" s="8">
        <f t="shared" si="1"/>
        <v>120013.28517428593</v>
      </c>
      <c r="E24" s="8">
        <f t="shared" si="2"/>
        <v>344591.18917831744</v>
      </c>
    </row>
    <row r="25" spans="1:5" x14ac:dyDescent="0.35">
      <c r="A25" s="13">
        <v>46387</v>
      </c>
      <c r="C25" s="8">
        <f t="shared" si="0"/>
        <v>198798.17921729368</v>
      </c>
      <c r="D25" s="8">
        <f t="shared" si="1"/>
        <v>69330.338271438246</v>
      </c>
      <c r="E25" s="8">
        <f t="shared" si="2"/>
        <v>328266.02016314911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Forecast</vt:lpstr>
      <vt:lpstr>Forecast (1)</vt:lpstr>
      <vt:lpstr>Forecast (2)</vt:lpstr>
      <vt:lpstr>Forecast (3)</vt:lpstr>
      <vt:lpstr>Forecast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A386</cp:lastModifiedBy>
  <dcterms:created xsi:type="dcterms:W3CDTF">2023-03-06T12:19:00Z</dcterms:created>
  <dcterms:modified xsi:type="dcterms:W3CDTF">2026-03-24T15:31:41Z</dcterms:modified>
</cp:coreProperties>
</file>